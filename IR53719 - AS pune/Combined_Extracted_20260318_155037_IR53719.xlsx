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Y:\E SANCHIT 25-26\IR53719\"/>
    </mc:Choice>
  </mc:AlternateContent>
  <xr:revisionPtr revIDLastSave="0" documentId="13_ncr:1_{B5A42A58-6CA2-49AE-ACFD-79ADC682F43E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definedNames>
    <definedName name="_xlnm._FilterDatabase" localSheetId="0" hidden="1">Sheet1!$A$1:$O$55</definedName>
  </definedNames>
  <calcPr calcId="179021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<sst xmlns="http://schemas.openxmlformats.org/spreadsheetml/2006/main" count="770" uniqueCount="353">
  <si>
    <t>Source</t>
  </si>
  <si>
    <t>Invoice Number</t>
  </si>
  <si>
    <t>Invoice Date</t>
  </si>
  <si>
    <t>Country of Origin</t>
  </si>
  <si>
    <t>HS Code</t>
  </si>
  <si>
    <t>Mat. NO.</t>
  </si>
  <si>
    <t>Description</t>
  </si>
  <si>
    <t>Default</t>
  </si>
  <si>
    <t>Quantity</t>
  </si>
  <si>
    <t>Weight per PC (kg)</t>
  </si>
  <si>
    <t>Unit Price (per batch)</t>
  </si>
  <si>
    <t>Price per PC</t>
  </si>
  <si>
    <t>Total Price</t>
  </si>
  <si>
    <t>Currency</t>
  </si>
  <si>
    <t>SKODA AUTO AS</t>
  </si>
  <si>
    <t>59638718</t>
  </si>
  <si>
    <t>04.02.2026</t>
  </si>
  <si>
    <t>IT</t>
  </si>
  <si>
    <t>392690</t>
  </si>
  <si>
    <t>03F129717C</t>
  </si>
  <si>
    <t>gasket</t>
  </si>
  <si>
    <t>(AUTOMOTIVE PARTS FOR CAPTIVE CONSUMPTION)</t>
  </si>
  <si>
    <t>1,600</t>
  </si>
  <si>
    <t>0.010</t>
  </si>
  <si>
    <t>646.22</t>
  </si>
  <si>
    <t>1000 /PC</t>
  </si>
  <si>
    <t>1,033.95</t>
  </si>
  <si>
    <t>EUR</t>
  </si>
  <si>
    <t>SK</t>
  </si>
  <si>
    <t>848330</t>
  </si>
  <si>
    <t>04C105561AAGLB</t>
  </si>
  <si>
    <t>MAIN BEARING</t>
  </si>
  <si>
    <t>570</t>
  </si>
  <si>
    <t>0.021</t>
  </si>
  <si>
    <t>593.20</t>
  </si>
  <si>
    <t>338.12</t>
  </si>
  <si>
    <t>04C105591AAGLB</t>
  </si>
  <si>
    <t>2,280</t>
  </si>
  <si>
    <t>0.023</t>
  </si>
  <si>
    <t>550.10</t>
  </si>
  <si>
    <t>1,254.23</t>
  </si>
  <si>
    <t>DE</t>
  </si>
  <si>
    <t>840991</t>
  </si>
  <si>
    <t>04E103111A</t>
  </si>
  <si>
    <t>sealing cap</t>
  </si>
  <si>
    <t>3,600</t>
  </si>
  <si>
    <t>0.020</t>
  </si>
  <si>
    <t>779.84</t>
  </si>
  <si>
    <t>2,807.42</t>
  </si>
  <si>
    <t>FR</t>
  </si>
  <si>
    <t>04E103415AS</t>
  </si>
  <si>
    <t>VALVE GUIDE</t>
  </si>
  <si>
    <t>27,600</t>
  </si>
  <si>
    <t>363.59</t>
  </si>
  <si>
    <t>10,035.08</t>
  </si>
  <si>
    <t>848350</t>
  </si>
  <si>
    <t>04E105243AG</t>
  </si>
  <si>
    <t>Vibration damper</t>
  </si>
  <si>
    <t>300</t>
  </si>
  <si>
    <t>1.748</t>
  </si>
  <si>
    <t>931.86</t>
  </si>
  <si>
    <t>100 /PC</t>
  </si>
  <si>
    <t>2,795.58</t>
  </si>
  <si>
    <t>04E105401CP</t>
  </si>
  <si>
    <t>CONNECTING ROD</t>
  </si>
  <si>
    <t>48</t>
  </si>
  <si>
    <t>0.300</t>
  </si>
  <si>
    <t>638.46</t>
  </si>
  <si>
    <t>306.46</t>
  </si>
  <si>
    <t>04E105701AMGLB</t>
  </si>
  <si>
    <t>connecting rod bearing shell</t>
  </si>
  <si>
    <t>14,250</t>
  </si>
  <si>
    <t>0.009</t>
  </si>
  <si>
    <t>521.12</t>
  </si>
  <si>
    <t>7,425.96</t>
  </si>
  <si>
    <t>401693</t>
  </si>
  <si>
    <t>04E115111D</t>
  </si>
  <si>
    <t>seal ring</t>
  </si>
  <si>
    <t>18,000</t>
  </si>
  <si>
    <t>0.001</t>
  </si>
  <si>
    <t>95.69</t>
  </si>
  <si>
    <t>1,722.42</t>
  </si>
  <si>
    <t>CZ</t>
  </si>
  <si>
    <t>848180</t>
  </si>
  <si>
    <t>04E906423C</t>
  </si>
  <si>
    <t>Solenoid valve</t>
  </si>
  <si>
    <t>42</t>
  </si>
  <si>
    <t>0.196</t>
  </si>
  <si>
    <t>663.77</t>
  </si>
  <si>
    <t>278.78</t>
  </si>
  <si>
    <t>HU</t>
  </si>
  <si>
    <t>05E103011S</t>
  </si>
  <si>
    <t>CYLINDER BLOCK A.</t>
  </si>
  <si>
    <t>189</t>
  </si>
  <si>
    <t>19.305</t>
  </si>
  <si>
    <t>220.54</t>
  </si>
  <si>
    <t>1 /PC</t>
  </si>
  <si>
    <t>41,682.06</t>
  </si>
  <si>
    <t>840999</t>
  </si>
  <si>
    <t>05E103353F</t>
  </si>
  <si>
    <t>CYLINDER HEAD</t>
  </si>
  <si>
    <t>30</t>
  </si>
  <si>
    <t>11.179</t>
  </si>
  <si>
    <t>162.50</t>
  </si>
  <si>
    <t>4,875.00</t>
  </si>
  <si>
    <t>848310</t>
  </si>
  <si>
    <t>05E105101A</t>
  </si>
  <si>
    <t>CRANKSHAFT</t>
  </si>
  <si>
    <t>192</t>
  </si>
  <si>
    <t>10.410</t>
  </si>
  <si>
    <t>84.02</t>
  </si>
  <si>
    <t>16,131.84</t>
  </si>
  <si>
    <t>PL</t>
  </si>
  <si>
    <t>05E107065BH</t>
  </si>
  <si>
    <t>Piston complete</t>
  </si>
  <si>
    <t>160</t>
  </si>
  <si>
    <t>0.353</t>
  </si>
  <si>
    <t>1,090.81</t>
  </si>
  <si>
    <t>1,745.30</t>
  </si>
  <si>
    <t>400942</t>
  </si>
  <si>
    <t>05E145673E</t>
  </si>
  <si>
    <t>pressure pipe</t>
  </si>
  <si>
    <t>378</t>
  </si>
  <si>
    <t>0.722</t>
  </si>
  <si>
    <t>482.55</t>
  </si>
  <si>
    <t>1,824.04</t>
  </si>
  <si>
    <t>PT</t>
  </si>
  <si>
    <t>1K0937545M</t>
  </si>
  <si>
    <t>bracket for connector housing</t>
  </si>
  <si>
    <t>5,000</t>
  </si>
  <si>
    <t>0.002</t>
  </si>
  <si>
    <t>43.20</t>
  </si>
  <si>
    <t>216.00</t>
  </si>
  <si>
    <t>1K0971615DD</t>
  </si>
  <si>
    <t>wiring conduit</t>
  </si>
  <si>
    <t>600</t>
  </si>
  <si>
    <t>144.17</t>
  </si>
  <si>
    <t>86.50</t>
  </si>
  <si>
    <t>ES</t>
  </si>
  <si>
    <t>1M6867574A</t>
  </si>
  <si>
    <t>holder for holding strap</t>
  </si>
  <si>
    <t>4,000</t>
  </si>
  <si>
    <t>22.13</t>
  </si>
  <si>
    <t>88.52</t>
  </si>
  <si>
    <t>830120</t>
  </si>
  <si>
    <t>2G6827505B9B9</t>
  </si>
  <si>
    <t>hood latch</t>
  </si>
  <si>
    <t>1,032</t>
  </si>
  <si>
    <t>0.430</t>
  </si>
  <si>
    <t>428.60</t>
  </si>
  <si>
    <t>4,423.15</t>
  </si>
  <si>
    <t>870899</t>
  </si>
  <si>
    <t>2Q0611032</t>
  </si>
  <si>
    <t>PLATE</t>
  </si>
  <si>
    <t>1,826</t>
  </si>
  <si>
    <t>0.005</t>
  </si>
  <si>
    <t>97.27</t>
  </si>
  <si>
    <t>177.62</t>
  </si>
  <si>
    <t>870830</t>
  </si>
  <si>
    <t>2Q0615405AC</t>
  </si>
  <si>
    <t>SLIDING-CALIPER BR</t>
  </si>
  <si>
    <t>288</t>
  </si>
  <si>
    <t>2.772</t>
  </si>
  <si>
    <t>27.97</t>
  </si>
  <si>
    <t>8,055.36</t>
  </si>
  <si>
    <t>2Q0615405AD</t>
  </si>
  <si>
    <t>SLIDING-CALIPER BRAKE</t>
  </si>
  <si>
    <t>144</t>
  </si>
  <si>
    <t>2.760</t>
  </si>
  <si>
    <t>41.36</t>
  </si>
  <si>
    <t>5,955.84</t>
  </si>
  <si>
    <t>2Q0615406AD</t>
  </si>
  <si>
    <t>11,911.68</t>
  </si>
  <si>
    <t>853690</t>
  </si>
  <si>
    <t>2Q0915135</t>
  </si>
  <si>
    <t>battery terminal</t>
  </si>
  <si>
    <t>3,520</t>
  </si>
  <si>
    <t>0.086</t>
  </si>
  <si>
    <t>167.17</t>
  </si>
  <si>
    <t>5,884.38</t>
  </si>
  <si>
    <t>2Q0971813</t>
  </si>
  <si>
    <t>cap</t>
  </si>
  <si>
    <t>1,512</t>
  </si>
  <si>
    <t>0.008</t>
  </si>
  <si>
    <t>61.32</t>
  </si>
  <si>
    <t>92.72</t>
  </si>
  <si>
    <t>2Q2614235C</t>
  </si>
  <si>
    <t>bracket for ABS unit</t>
  </si>
  <si>
    <t>0.596</t>
  </si>
  <si>
    <t>261.00</t>
  </si>
  <si>
    <t>1,566.00</t>
  </si>
  <si>
    <t>391990</t>
  </si>
  <si>
    <t>3AA837903</t>
  </si>
  <si>
    <t>Cover (self-adhesive)</t>
  </si>
  <si>
    <t>450</t>
  </si>
  <si>
    <t>0.006</t>
  </si>
  <si>
    <t>161.56</t>
  </si>
  <si>
    <t>72.70</t>
  </si>
  <si>
    <t>851220</t>
  </si>
  <si>
    <t>3CN945087</t>
  </si>
  <si>
    <t>Additional Brake Light with</t>
  </si>
  <si>
    <t>325</t>
  </si>
  <si>
    <t>0.133</t>
  </si>
  <si>
    <t>538.51</t>
  </si>
  <si>
    <t>1,750.16</t>
  </si>
  <si>
    <t>3T0945229</t>
  </si>
  <si>
    <t>ball screw</t>
  </si>
  <si>
    <t>131.21</t>
  </si>
  <si>
    <t>524.84</t>
  </si>
  <si>
    <t>GB</t>
  </si>
  <si>
    <t>5F0010009</t>
  </si>
  <si>
    <t>VEHICLE DATA CARRIER</t>
  </si>
  <si>
    <t>0.004</t>
  </si>
  <si>
    <t>63.23</t>
  </si>
  <si>
    <t>316.15</t>
  </si>
  <si>
    <t>5F0899181</t>
  </si>
  <si>
    <t>plug</t>
  </si>
  <si>
    <t>47.84</t>
  </si>
  <si>
    <t>861.12</t>
  </si>
  <si>
    <t>841330</t>
  </si>
  <si>
    <t>5Q0612181D</t>
  </si>
  <si>
    <t>elec. vacuum pump for</t>
  </si>
  <si>
    <t>320</t>
  </si>
  <si>
    <t>1.305</t>
  </si>
  <si>
    <t>36.35</t>
  </si>
  <si>
    <t>11,632.00</t>
  </si>
  <si>
    <t>5Q0965567N</t>
  </si>
  <si>
    <t>Water pump</t>
  </si>
  <si>
    <t>2,160</t>
  </si>
  <si>
    <t>0.318</t>
  </si>
  <si>
    <t>985.87</t>
  </si>
  <si>
    <t>21,294.79</t>
  </si>
  <si>
    <t>853710</t>
  </si>
  <si>
    <t>5QA919294L</t>
  </si>
  <si>
    <t>Control unit for park assist</t>
  </si>
  <si>
    <t>840</t>
  </si>
  <si>
    <t>0.061</t>
  </si>
  <si>
    <t>887.18</t>
  </si>
  <si>
    <t>7,452.31</t>
  </si>
  <si>
    <t>5QP200059C</t>
  </si>
  <si>
    <t>1 set of fuel lines</t>
  </si>
  <si>
    <t>0.364</t>
  </si>
  <si>
    <t>920.34</t>
  </si>
  <si>
    <t>2,761.02</t>
  </si>
  <si>
    <t>5QP200059D</t>
  </si>
  <si>
    <t>0.361</t>
  </si>
  <si>
    <t>914.10</t>
  </si>
  <si>
    <t>2,742.30</t>
  </si>
  <si>
    <t>657945067</t>
  </si>
  <si>
    <t>support</t>
  </si>
  <si>
    <t>24,000</t>
  </si>
  <si>
    <t>86.21</t>
  </si>
  <si>
    <t>2,069.04</t>
  </si>
  <si>
    <t>731700</t>
  </si>
  <si>
    <t>6F0819145</t>
  </si>
  <si>
    <t>clamp</t>
  </si>
  <si>
    <t>59.24</t>
  </si>
  <si>
    <t>236.96</t>
  </si>
  <si>
    <t>870895</t>
  </si>
  <si>
    <t>6JM880201DXEA</t>
  </si>
  <si>
    <t>AIRBAG</t>
  </si>
  <si>
    <t>1,296</t>
  </si>
  <si>
    <t>1.120</t>
  </si>
  <si>
    <t>20.41</t>
  </si>
  <si>
    <t>26,451.36</t>
  </si>
  <si>
    <t>854720</t>
  </si>
  <si>
    <t>6Q0971701A</t>
  </si>
  <si>
    <t>flat contact housing</t>
  </si>
  <si>
    <t>2,400</t>
  </si>
  <si>
    <t>0.003</t>
  </si>
  <si>
    <t>55.54</t>
  </si>
  <si>
    <t>133.30</t>
  </si>
  <si>
    <t>6U0867299RM5</t>
  </si>
  <si>
    <t>clip</t>
  </si>
  <si>
    <t>55.86</t>
  </si>
  <si>
    <t>279.30</t>
  </si>
  <si>
    <t>6VA880201EIZY</t>
  </si>
  <si>
    <t>Airbag unit for steering wheel</t>
  </si>
  <si>
    <t>72</t>
  </si>
  <si>
    <t>1.148</t>
  </si>
  <si>
    <t>29.37</t>
  </si>
  <si>
    <t>2,114.64</t>
  </si>
  <si>
    <t>6VA880201FIZY</t>
  </si>
  <si>
    <t>132</t>
  </si>
  <si>
    <t>1.142</t>
  </si>
  <si>
    <t>29.96</t>
  </si>
  <si>
    <t>3,954.72</t>
  </si>
  <si>
    <t>8K0805267</t>
  </si>
  <si>
    <t>drain tube grommet</t>
  </si>
  <si>
    <t>9,600</t>
  </si>
  <si>
    <t>29.83</t>
  </si>
  <si>
    <t>286.37</t>
  </si>
  <si>
    <t>850110</t>
  </si>
  <si>
    <t>8V0862159B</t>
  </si>
  <si>
    <t>Actuator</t>
  </si>
  <si>
    <t>1,485</t>
  </si>
  <si>
    <t>0.055</t>
  </si>
  <si>
    <t>188.60</t>
  </si>
  <si>
    <t>2,800.71</t>
  </si>
  <si>
    <t>8W0827503A</t>
  </si>
  <si>
    <t>Hood latch</t>
  </si>
  <si>
    <t>338</t>
  </si>
  <si>
    <t>0.467</t>
  </si>
  <si>
    <t>507.33</t>
  </si>
  <si>
    <t>1,714.78</t>
  </si>
  <si>
    <t>CH</t>
  </si>
  <si>
    <t>320890</t>
  </si>
  <si>
    <t>AMV18175008</t>
  </si>
  <si>
    <t>LACKPRIMER 250ML</t>
  </si>
  <si>
    <t>12</t>
  </si>
  <si>
    <t>1.200</t>
  </si>
  <si>
    <t>3,414.45</t>
  </si>
  <si>
    <t>100 /L</t>
  </si>
  <si>
    <t>409.73</t>
  </si>
  <si>
    <t>BR</t>
  </si>
  <si>
    <t>732690</t>
  </si>
  <si>
    <t>N90656401</t>
  </si>
  <si>
    <t>spring clip</t>
  </si>
  <si>
    <t>240</t>
  </si>
  <si>
    <t>0.042</t>
  </si>
  <si>
    <t>280.11</t>
  </si>
  <si>
    <t>67.23</t>
  </si>
  <si>
    <t>731816</t>
  </si>
  <si>
    <t>N90714303</t>
  </si>
  <si>
    <t>hex. nut with washer</t>
  </si>
  <si>
    <t>10,800</t>
  </si>
  <si>
    <t>39.09</t>
  </si>
  <si>
    <t>422.17</t>
  </si>
  <si>
    <t>N90754202</t>
  </si>
  <si>
    <t>2,800</t>
  </si>
  <si>
    <t>84.51</t>
  </si>
  <si>
    <t>236.63</t>
  </si>
  <si>
    <t>N90959602</t>
  </si>
  <si>
    <t>rivetted cap nut</t>
  </si>
  <si>
    <t>31.29</t>
  </si>
  <si>
    <t>156.45</t>
  </si>
  <si>
    <t>DK</t>
  </si>
  <si>
    <t>WHT000016</t>
  </si>
  <si>
    <t>hex. nut with rubber</t>
  </si>
  <si>
    <t>500</t>
  </si>
  <si>
    <t>0.028</t>
  </si>
  <si>
    <t>266.63</t>
  </si>
  <si>
    <t>133.32</t>
  </si>
  <si>
    <t>WHT004986H</t>
  </si>
  <si>
    <t>WASHER</t>
  </si>
  <si>
    <t>1,152</t>
  </si>
  <si>
    <t>0.011</t>
  </si>
  <si>
    <t>340.07</t>
  </si>
  <si>
    <t>391.76</t>
  </si>
  <si>
    <t>WHT007697</t>
  </si>
  <si>
    <t>650</t>
  </si>
  <si>
    <t>54.70</t>
  </si>
  <si>
    <t>35.56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</si>
</sst>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abSelected="1" topLeftCell="B18" workbookViewId="0">
      <selection activeCell="N43" sqref="N43"/>
    </sheetView>
  </sheetViews>
  <sheetFormatPr defaultRowHeight="15" x14ac:dyDescent="0.25"/>
  <cols>
    <col min="1" max="1" width="15.42578125" bestFit="1" customWidth="1"/>
    <col min="2" max="2" width="15.28515625" bestFit="1" customWidth="1"/>
    <col min="3" max="3" width="12" bestFit="1" customWidth="1"/>
    <col min="4" max="4" width="16.28515625" bestFit="1" customWidth="1"/>
    <col min="5" max="5" width="8.28515625" bestFit="1" customWidth="1"/>
    <col min="6" max="6" width="16.42578125" bestFit="1" customWidth="1"/>
    <col min="7" max="7" width="28" bestFit="1" customWidth="1"/>
    <col min="8" max="8" width="28" customWidth="1"/>
    <col min="9" max="9" width="47.5703125" bestFit="1" customWidth="1"/>
    <col min="10" max="10" width="8.7109375" bestFit="1" customWidth="1"/>
    <col min="11" max="11" width="17.7109375" bestFit="1" customWidth="1"/>
    <col min="12" max="12" width="20" bestFit="1" customWidth="1"/>
    <col min="13" max="13" width="11.5703125" bestFit="1" customWidth="1"/>
    <col min="14" max="14" width="10.28515625" bestFit="1" customWidth="1"/>
    <col min="15" max="15" width="8.8554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t="s">
        <v>12</v>
      </c>
      <c r="O1" t="s">
        <v>13</v>
      </c>
    </row>
    <row r="2" spans="1:16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tr">
        <f>UPPER(G2)</f>
        <v>GASKET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tr">
        <f>F2&amp;" "&amp;H2&amp;" "&amp;I2</f>
        <v>03F129717C GASKET (AUTOMOTIVE PARTS FOR CAPTIVE CONSUMPTION)</v>
      </c>
    </row>
    <row r="3" spans="1:16" x14ac:dyDescent="0.25">
      <c r="A3" t="s">
        <v>14</v>
      </c>
      <c r="B3" t="s">
        <v>15</v>
      </c>
      <c r="C3" t="s">
        <v>16</v>
      </c>
      <c r="D3" t="s">
        <v>28</v>
      </c>
      <c r="E3" t="s">
        <v>29</v>
      </c>
      <c r="F3" t="s">
        <v>30</v>
      </c>
      <c r="G3" t="s">
        <v>31</v>
      </c>
      <c r="H3" t="str">
        <f t="shared" ref="H3:H55" si="0">UPPER(G3)</f>
        <v>MAIN BEARING</v>
      </c>
      <c r="I3" t="s">
        <v>21</v>
      </c>
      <c r="J3" t="s">
        <v>32</v>
      </c>
      <c r="K3" t="s">
        <v>33</v>
      </c>
      <c r="L3" t="s">
        <v>34</v>
      </c>
      <c r="M3" t="s">
        <v>25</v>
      </c>
      <c r="N3" t="s">
        <v>35</v>
      </c>
      <c r="O3" t="s">
        <v>27</v>
      </c>
      <c r="P3" t="str">
        <f t="shared" ref="P3:P55" si="1">F3&amp;" "&amp;H3&amp;" "&amp;I3</f>
        <v>04C105561AAGLB MAIN BEARING (AUTOMOTIVE PARTS FOR CAPTIVE CONSUMPTION)</v>
      </c>
    </row>
    <row r="4" spans="1:16" x14ac:dyDescent="0.25">
      <c r="A4" t="s">
        <v>14</v>
      </c>
      <c r="B4" t="s">
        <v>15</v>
      </c>
      <c r="C4" t="s">
        <v>16</v>
      </c>
      <c r="D4" t="s">
        <v>28</v>
      </c>
      <c r="E4" t="s">
        <v>29</v>
      </c>
      <c r="F4" t="s">
        <v>36</v>
      </c>
      <c r="G4" t="s">
        <v>31</v>
      </c>
      <c r="H4" t="str">
        <f t="shared" si="0"/>
        <v>MAIN BEARING</v>
      </c>
      <c r="I4" t="s">
        <v>21</v>
      </c>
      <c r="J4" t="s">
        <v>37</v>
      </c>
      <c r="K4" t="s">
        <v>38</v>
      </c>
      <c r="L4" t="s">
        <v>39</v>
      </c>
      <c r="M4" t="s">
        <v>25</v>
      </c>
      <c r="N4" t="s">
        <v>40</v>
      </c>
      <c r="O4" t="s">
        <v>27</v>
      </c>
      <c r="P4" t="str">
        <f t="shared" si="1"/>
        <v>04C105591AAGLB MAIN BEARING (AUTOMOTIVE PARTS FOR CAPTIVE CONSUMPTION)</v>
      </c>
    </row>
    <row r="5" spans="1:16" x14ac:dyDescent="0.25">
      <c r="A5" t="s">
        <v>14</v>
      </c>
      <c r="B5" t="s">
        <v>15</v>
      </c>
      <c r="C5" t="s">
        <v>16</v>
      </c>
      <c r="D5" t="s">
        <v>41</v>
      </c>
      <c r="E5" t="s">
        <v>42</v>
      </c>
      <c r="F5" t="s">
        <v>43</v>
      </c>
      <c r="G5" t="s">
        <v>44</v>
      </c>
      <c r="H5" t="str">
        <f t="shared" si="0"/>
        <v>SEALING CAP</v>
      </c>
      <c r="I5" t="s">
        <v>21</v>
      </c>
      <c r="J5" t="s">
        <v>45</v>
      </c>
      <c r="K5" t="s">
        <v>46</v>
      </c>
      <c r="L5" t="s">
        <v>47</v>
      </c>
      <c r="M5" t="s">
        <v>25</v>
      </c>
      <c r="N5" t="s">
        <v>48</v>
      </c>
      <c r="O5" t="s">
        <v>27</v>
      </c>
      <c r="P5" t="str">
        <f t="shared" si="1"/>
        <v>04E103111A SEALING CAP (AUTOMOTIVE PARTS FOR CAPTIVE CONSUMPTION)</v>
      </c>
    </row>
    <row r="6" spans="1:16" x14ac:dyDescent="0.25">
      <c r="A6" t="s">
        <v>14</v>
      </c>
      <c r="B6" t="s">
        <v>15</v>
      </c>
      <c r="C6" t="s">
        <v>16</v>
      </c>
      <c r="D6" t="s">
        <v>49</v>
      </c>
      <c r="E6" t="s">
        <v>42</v>
      </c>
      <c r="F6" t="s">
        <v>50</v>
      </c>
      <c r="G6" t="s">
        <v>51</v>
      </c>
      <c r="H6" t="str">
        <f t="shared" si="0"/>
        <v>VALVE GUIDE</v>
      </c>
      <c r="I6" t="s">
        <v>21</v>
      </c>
      <c r="J6" t="s">
        <v>52</v>
      </c>
      <c r="K6" t="s">
        <v>46</v>
      </c>
      <c r="L6" t="s">
        <v>53</v>
      </c>
      <c r="M6" t="s">
        <v>25</v>
      </c>
      <c r="N6" t="s">
        <v>54</v>
      </c>
      <c r="O6" t="s">
        <v>27</v>
      </c>
      <c r="P6" t="str">
        <f t="shared" si="1"/>
        <v>04E103415AS VALVE GUIDE (AUTOMOTIVE PARTS FOR CAPTIVE CONSUMPTION)</v>
      </c>
    </row>
    <row r="7" spans="1:16" x14ac:dyDescent="0.25">
      <c r="A7" t="s">
        <v>14</v>
      </c>
      <c r="B7" t="s">
        <v>15</v>
      </c>
      <c r="C7" t="s">
        <v>16</v>
      </c>
      <c r="D7" t="s">
        <v>41</v>
      </c>
      <c r="E7" t="s">
        <v>55</v>
      </c>
      <c r="F7" t="s">
        <v>56</v>
      </c>
      <c r="G7" t="s">
        <v>57</v>
      </c>
      <c r="H7" t="str">
        <f t="shared" si="0"/>
        <v>VIBRATION DAMPER</v>
      </c>
      <c r="I7" t="s">
        <v>21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27</v>
      </c>
      <c r="P7" t="str">
        <f t="shared" si="1"/>
        <v>04E105243AG VIBRATION DAMPER (AUTOMOTIVE PARTS FOR CAPTIVE CONSUMPTION)</v>
      </c>
    </row>
    <row r="8" spans="1:16" x14ac:dyDescent="0.25">
      <c r="A8" t="s">
        <v>14</v>
      </c>
      <c r="B8" t="s">
        <v>15</v>
      </c>
      <c r="C8" t="s">
        <v>16</v>
      </c>
      <c r="D8" t="s">
        <v>41</v>
      </c>
      <c r="E8" t="s">
        <v>42</v>
      </c>
      <c r="F8" t="s">
        <v>63</v>
      </c>
      <c r="G8" t="s">
        <v>64</v>
      </c>
      <c r="H8" t="str">
        <f t="shared" si="0"/>
        <v>CONNECTING ROD</v>
      </c>
      <c r="I8" t="s">
        <v>21</v>
      </c>
      <c r="J8" t="s">
        <v>65</v>
      </c>
      <c r="K8" t="s">
        <v>66</v>
      </c>
      <c r="L8" t="s">
        <v>67</v>
      </c>
      <c r="M8" t="s">
        <v>61</v>
      </c>
      <c r="N8" t="s">
        <v>68</v>
      </c>
      <c r="O8" t="s">
        <v>27</v>
      </c>
      <c r="P8" t="str">
        <f t="shared" si="1"/>
        <v>04E105401CP CONNECTING ROD (AUTOMOTIVE PARTS FOR CAPTIVE CONSUMPTION)</v>
      </c>
    </row>
    <row r="9" spans="1:16" x14ac:dyDescent="0.25">
      <c r="A9" t="s">
        <v>14</v>
      </c>
      <c r="B9" t="s">
        <v>15</v>
      </c>
      <c r="C9" t="s">
        <v>16</v>
      </c>
      <c r="D9" t="s">
        <v>28</v>
      </c>
      <c r="E9" t="s">
        <v>29</v>
      </c>
      <c r="F9" t="s">
        <v>69</v>
      </c>
      <c r="G9" t="s">
        <v>70</v>
      </c>
      <c r="H9" t="str">
        <f t="shared" si="0"/>
        <v>CONNECTING ROD BEARING SHELL</v>
      </c>
      <c r="I9" t="s">
        <v>21</v>
      </c>
      <c r="J9" t="s">
        <v>71</v>
      </c>
      <c r="K9" t="s">
        <v>72</v>
      </c>
      <c r="L9" t="s">
        <v>73</v>
      </c>
      <c r="M9" t="s">
        <v>25</v>
      </c>
      <c r="N9" t="s">
        <v>74</v>
      </c>
      <c r="O9" t="s">
        <v>27</v>
      </c>
      <c r="P9" t="str">
        <f t="shared" si="1"/>
        <v>04E105701AMGLB CONNECTING ROD BEARING SHELL (AUTOMOTIVE PARTS FOR CAPTIVE CONSUMPTION)</v>
      </c>
    </row>
    <row r="10" spans="1:16" x14ac:dyDescent="0.25">
      <c r="A10" t="s">
        <v>14</v>
      </c>
      <c r="B10" t="s">
        <v>15</v>
      </c>
      <c r="C10" t="s">
        <v>16</v>
      </c>
      <c r="D10" t="s">
        <v>41</v>
      </c>
      <c r="E10" t="s">
        <v>75</v>
      </c>
      <c r="F10" t="s">
        <v>76</v>
      </c>
      <c r="G10" t="s">
        <v>77</v>
      </c>
      <c r="H10" t="str">
        <f t="shared" si="0"/>
        <v>SEAL RING</v>
      </c>
      <c r="I10" t="s">
        <v>21</v>
      </c>
      <c r="J10" t="s">
        <v>78</v>
      </c>
      <c r="K10" t="s">
        <v>79</v>
      </c>
      <c r="L10" t="s">
        <v>80</v>
      </c>
      <c r="M10" t="s">
        <v>25</v>
      </c>
      <c r="N10" t="s">
        <v>81</v>
      </c>
      <c r="O10" t="s">
        <v>27</v>
      </c>
      <c r="P10" t="str">
        <f t="shared" si="1"/>
        <v>04E115111D SEAL RING (AUTOMOTIVE PARTS FOR CAPTIVE CONSUMPTION)</v>
      </c>
    </row>
    <row r="11" spans="1:16" x14ac:dyDescent="0.25">
      <c r="A11" t="s">
        <v>14</v>
      </c>
      <c r="B11" t="s">
        <v>15</v>
      </c>
      <c r="C11" t="s">
        <v>16</v>
      </c>
      <c r="D11" t="s">
        <v>82</v>
      </c>
      <c r="E11" t="s">
        <v>83</v>
      </c>
      <c r="F11" t="s">
        <v>84</v>
      </c>
      <c r="G11" t="s">
        <v>85</v>
      </c>
      <c r="H11" t="str">
        <f t="shared" si="0"/>
        <v>SOLENOID VALVE</v>
      </c>
      <c r="I11" t="s">
        <v>21</v>
      </c>
      <c r="J11" t="s">
        <v>86</v>
      </c>
      <c r="K11" t="s">
        <v>87</v>
      </c>
      <c r="L11" t="s">
        <v>88</v>
      </c>
      <c r="M11" t="s">
        <v>61</v>
      </c>
      <c r="N11" t="s">
        <v>89</v>
      </c>
      <c r="O11" t="s">
        <v>27</v>
      </c>
      <c r="P11" t="str">
        <f t="shared" si="1"/>
        <v>04E906423C SOLENOID VALVE (AUTOMOTIVE PARTS FOR CAPTIVE CONSUMPTION)</v>
      </c>
    </row>
    <row r="12" spans="1:16" x14ac:dyDescent="0.25">
      <c r="A12" t="s">
        <v>14</v>
      </c>
      <c r="B12" t="s">
        <v>15</v>
      </c>
      <c r="C12" t="s">
        <v>16</v>
      </c>
      <c r="D12" t="s">
        <v>90</v>
      </c>
      <c r="E12" t="s">
        <v>42</v>
      </c>
      <c r="F12" t="s">
        <v>91</v>
      </c>
      <c r="G12" t="s">
        <v>92</v>
      </c>
      <c r="H12" t="str">
        <f t="shared" si="0"/>
        <v>CYLINDER BLOCK A.</v>
      </c>
      <c r="I12" t="s">
        <v>21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27</v>
      </c>
      <c r="P12" t="str">
        <f t="shared" si="1"/>
        <v>05E103011S CYLINDER BLOCK A. (AUTOMOTIVE PARTS FOR CAPTIVE CONSUMPTION)</v>
      </c>
    </row>
    <row r="13" spans="1:16" x14ac:dyDescent="0.25">
      <c r="A13" t="s">
        <v>14</v>
      </c>
      <c r="B13" t="s">
        <v>15</v>
      </c>
      <c r="C13" t="s">
        <v>16</v>
      </c>
      <c r="D13" t="s">
        <v>90</v>
      </c>
      <c r="E13" t="s">
        <v>98</v>
      </c>
      <c r="F13" t="s">
        <v>99</v>
      </c>
      <c r="G13" t="s">
        <v>100</v>
      </c>
      <c r="H13" t="str">
        <f t="shared" si="0"/>
        <v>CYLINDER HEAD</v>
      </c>
      <c r="I13" t="s">
        <v>21</v>
      </c>
      <c r="J13" t="s">
        <v>101</v>
      </c>
      <c r="K13" t="s">
        <v>102</v>
      </c>
      <c r="L13" t="s">
        <v>103</v>
      </c>
      <c r="M13" t="s">
        <v>96</v>
      </c>
      <c r="N13" t="s">
        <v>104</v>
      </c>
      <c r="O13" t="s">
        <v>27</v>
      </c>
      <c r="P13" t="str">
        <f t="shared" si="1"/>
        <v>05E103353F CYLINDER HEAD (AUTOMOTIVE PARTS FOR CAPTIVE CONSUMPTION)</v>
      </c>
    </row>
    <row r="14" spans="1:16" x14ac:dyDescent="0.25">
      <c r="A14" t="s">
        <v>14</v>
      </c>
      <c r="B14" t="s">
        <v>15</v>
      </c>
      <c r="C14" t="s">
        <v>16</v>
      </c>
      <c r="D14" t="s">
        <v>90</v>
      </c>
      <c r="E14" t="s">
        <v>105</v>
      </c>
      <c r="F14" t="s">
        <v>106</v>
      </c>
      <c r="G14" t="s">
        <v>107</v>
      </c>
      <c r="H14" t="str">
        <f t="shared" si="0"/>
        <v>CRANKSHAFT</v>
      </c>
      <c r="I14" t="s">
        <v>21</v>
      </c>
      <c r="J14" t="s">
        <v>108</v>
      </c>
      <c r="K14" t="s">
        <v>109</v>
      </c>
      <c r="L14" t="s">
        <v>110</v>
      </c>
      <c r="M14" t="s">
        <v>96</v>
      </c>
      <c r="N14" t="s">
        <v>111</v>
      </c>
      <c r="O14" t="s">
        <v>27</v>
      </c>
      <c r="P14" t="str">
        <f t="shared" si="1"/>
        <v>05E105101A CRANKSHAFT (AUTOMOTIVE PARTS FOR CAPTIVE CONSUMPTION)</v>
      </c>
    </row>
    <row r="15" spans="1:16" x14ac:dyDescent="0.25">
      <c r="A15" t="s">
        <v>14</v>
      </c>
      <c r="B15" t="s">
        <v>15</v>
      </c>
      <c r="C15" t="s">
        <v>16</v>
      </c>
      <c r="D15" t="s">
        <v>112</v>
      </c>
      <c r="E15" t="s">
        <v>98</v>
      </c>
      <c r="F15" t="s">
        <v>113</v>
      </c>
      <c r="G15" t="s">
        <v>114</v>
      </c>
      <c r="H15" t="str">
        <f t="shared" si="0"/>
        <v>PISTON COMPLETE</v>
      </c>
      <c r="I15" t="s">
        <v>21</v>
      </c>
      <c r="J15" t="s">
        <v>115</v>
      </c>
      <c r="K15" t="s">
        <v>116</v>
      </c>
      <c r="L15" t="s">
        <v>117</v>
      </c>
      <c r="M15" t="s">
        <v>61</v>
      </c>
      <c r="N15" t="s">
        <v>118</v>
      </c>
      <c r="O15" t="s">
        <v>27</v>
      </c>
      <c r="P15" t="str">
        <f t="shared" si="1"/>
        <v>05E107065BH PISTON COMPLETE (AUTOMOTIVE PARTS FOR CAPTIVE CONSUMPTION)</v>
      </c>
    </row>
    <row r="16" spans="1:16" x14ac:dyDescent="0.25">
      <c r="A16" t="s">
        <v>14</v>
      </c>
      <c r="B16" t="s">
        <v>15</v>
      </c>
      <c r="C16" t="s">
        <v>16</v>
      </c>
      <c r="D16" t="s">
        <v>41</v>
      </c>
      <c r="E16" t="s">
        <v>119</v>
      </c>
      <c r="F16" t="s">
        <v>120</v>
      </c>
      <c r="G16" t="s">
        <v>121</v>
      </c>
      <c r="H16" t="str">
        <f t="shared" si="0"/>
        <v>PRESSURE PIPE</v>
      </c>
      <c r="I16" t="s">
        <v>21</v>
      </c>
      <c r="J16" t="s">
        <v>122</v>
      </c>
      <c r="K16" t="s">
        <v>123</v>
      </c>
      <c r="L16" t="s">
        <v>124</v>
      </c>
      <c r="M16" t="s">
        <v>61</v>
      </c>
      <c r="N16" t="s">
        <v>125</v>
      </c>
      <c r="O16" t="s">
        <v>27</v>
      </c>
      <c r="P16" t="str">
        <f t="shared" si="1"/>
        <v>05E145673E PRESSURE PIPE (AUTOMOTIVE PARTS FOR CAPTIVE CONSUMPTION)</v>
      </c>
    </row>
    <row r="17" spans="1:16" x14ac:dyDescent="0.25">
      <c r="A17" t="s">
        <v>14</v>
      </c>
      <c r="B17" t="s">
        <v>15</v>
      </c>
      <c r="C17" t="s">
        <v>16</v>
      </c>
      <c r="D17" t="s">
        <v>126</v>
      </c>
      <c r="E17" t="s">
        <v>18</v>
      </c>
      <c r="F17" t="s">
        <v>127</v>
      </c>
      <c r="G17" t="s">
        <v>128</v>
      </c>
      <c r="H17" t="str">
        <f t="shared" si="0"/>
        <v>BRACKET FOR CONNECTOR HOUSING</v>
      </c>
      <c r="I17" t="s">
        <v>21</v>
      </c>
      <c r="J17" t="s">
        <v>129</v>
      </c>
      <c r="K17" t="s">
        <v>130</v>
      </c>
      <c r="L17" t="s">
        <v>131</v>
      </c>
      <c r="M17" t="s">
        <v>25</v>
      </c>
      <c r="N17" t="s">
        <v>132</v>
      </c>
      <c r="O17" t="s">
        <v>27</v>
      </c>
      <c r="P17" t="str">
        <f t="shared" si="1"/>
        <v>1K0937545M BRACKET FOR CONNECTOR HOUSING (AUTOMOTIVE PARTS FOR CAPTIVE CONSUMPTION)</v>
      </c>
    </row>
    <row r="18" spans="1:16" x14ac:dyDescent="0.25">
      <c r="A18" t="s">
        <v>14</v>
      </c>
      <c r="B18" t="s">
        <v>15</v>
      </c>
      <c r="C18" t="s">
        <v>16</v>
      </c>
      <c r="D18" t="s">
        <v>90</v>
      </c>
      <c r="E18" t="s">
        <v>18</v>
      </c>
      <c r="F18" t="s">
        <v>133</v>
      </c>
      <c r="G18" t="s">
        <v>134</v>
      </c>
      <c r="H18" t="str">
        <f t="shared" si="0"/>
        <v>WIRING CONDUIT</v>
      </c>
      <c r="I18" t="s">
        <v>21</v>
      </c>
      <c r="J18" t="s">
        <v>135</v>
      </c>
      <c r="K18" t="s">
        <v>46</v>
      </c>
      <c r="L18" t="s">
        <v>136</v>
      </c>
      <c r="M18" t="s">
        <v>25</v>
      </c>
      <c r="N18" t="s">
        <v>137</v>
      </c>
      <c r="O18" t="s">
        <v>27</v>
      </c>
      <c r="P18" t="str">
        <f t="shared" si="1"/>
        <v>1K0971615DD WIRING CONDUIT (AUTOMOTIVE PARTS FOR CAPTIVE CONSUMPTION)</v>
      </c>
    </row>
    <row r="19" spans="1:16" x14ac:dyDescent="0.25">
      <c r="A19" t="s">
        <v>14</v>
      </c>
      <c r="B19" t="s">
        <v>15</v>
      </c>
      <c r="C19" t="s">
        <v>16</v>
      </c>
      <c r="D19" t="s">
        <v>138</v>
      </c>
      <c r="E19" t="s">
        <v>18</v>
      </c>
      <c r="F19" t="s">
        <v>139</v>
      </c>
      <c r="G19" t="s">
        <v>140</v>
      </c>
      <c r="H19" t="str">
        <f t="shared" si="0"/>
        <v>HOLDER FOR HOLDING STRAP</v>
      </c>
      <c r="I19" t="s">
        <v>21</v>
      </c>
      <c r="J19" t="s">
        <v>141</v>
      </c>
      <c r="K19" t="s">
        <v>79</v>
      </c>
      <c r="L19" t="s">
        <v>142</v>
      </c>
      <c r="M19" t="s">
        <v>25</v>
      </c>
      <c r="N19" t="s">
        <v>143</v>
      </c>
      <c r="O19" t="s">
        <v>27</v>
      </c>
      <c r="P19" t="str">
        <f t="shared" si="1"/>
        <v>1M6867574A HOLDER FOR HOLDING STRAP (AUTOMOTIVE PARTS FOR CAPTIVE CONSUMPTION)</v>
      </c>
    </row>
    <row r="20" spans="1:16" x14ac:dyDescent="0.25">
      <c r="A20" t="s">
        <v>14</v>
      </c>
      <c r="B20" t="s">
        <v>15</v>
      </c>
      <c r="C20" t="s">
        <v>16</v>
      </c>
      <c r="D20" t="s">
        <v>17</v>
      </c>
      <c r="E20" t="s">
        <v>144</v>
      </c>
      <c r="F20" t="s">
        <v>145</v>
      </c>
      <c r="G20" t="s">
        <v>146</v>
      </c>
      <c r="H20" t="str">
        <f t="shared" si="0"/>
        <v>HOOD LATCH</v>
      </c>
      <c r="I20" t="s">
        <v>21</v>
      </c>
      <c r="J20" t="s">
        <v>147</v>
      </c>
      <c r="K20" t="s">
        <v>148</v>
      </c>
      <c r="L20" t="s">
        <v>149</v>
      </c>
      <c r="M20" t="s">
        <v>61</v>
      </c>
      <c r="N20" t="s">
        <v>150</v>
      </c>
      <c r="O20" t="s">
        <v>27</v>
      </c>
      <c r="P20" t="str">
        <f t="shared" si="1"/>
        <v>2G6827505B9B9 HOOD LATCH (AUTOMOTIVE PARTS FOR CAPTIVE CONSUMPTION)</v>
      </c>
    </row>
    <row r="21" spans="1:16" x14ac:dyDescent="0.25">
      <c r="A21" t="s">
        <v>14</v>
      </c>
      <c r="B21" t="s">
        <v>15</v>
      </c>
      <c r="C21" t="s">
        <v>16</v>
      </c>
      <c r="D21" t="s">
        <v>41</v>
      </c>
      <c r="E21" t="s">
        <v>151</v>
      </c>
      <c r="F21" t="s">
        <v>152</v>
      </c>
      <c r="G21" t="s">
        <v>153</v>
      </c>
      <c r="H21" t="str">
        <f t="shared" si="0"/>
        <v>PLATE</v>
      </c>
      <c r="I21" t="s">
        <v>21</v>
      </c>
      <c r="J21" t="s">
        <v>154</v>
      </c>
      <c r="K21" t="s">
        <v>155</v>
      </c>
      <c r="L21" t="s">
        <v>156</v>
      </c>
      <c r="M21" t="s">
        <v>25</v>
      </c>
      <c r="N21" t="s">
        <v>157</v>
      </c>
      <c r="O21" t="s">
        <v>27</v>
      </c>
      <c r="P21" t="str">
        <f t="shared" si="1"/>
        <v>2Q0611032 PLATE (AUTOMOTIVE PARTS FOR CAPTIVE CONSUMPTION)</v>
      </c>
    </row>
    <row r="22" spans="1:16" x14ac:dyDescent="0.25">
      <c r="A22" t="s">
        <v>14</v>
      </c>
      <c r="B22" t="s">
        <v>15</v>
      </c>
      <c r="C22" t="s">
        <v>16</v>
      </c>
      <c r="D22" t="s">
        <v>82</v>
      </c>
      <c r="E22" t="s">
        <v>158</v>
      </c>
      <c r="F22" t="s">
        <v>159</v>
      </c>
      <c r="G22" t="s">
        <v>160</v>
      </c>
      <c r="H22" t="str">
        <f t="shared" si="0"/>
        <v>SLIDING-CALIPER BR</v>
      </c>
      <c r="I22" t="s">
        <v>21</v>
      </c>
      <c r="J22" t="s">
        <v>161</v>
      </c>
      <c r="K22" t="s">
        <v>162</v>
      </c>
      <c r="L22" t="s">
        <v>163</v>
      </c>
      <c r="M22" t="s">
        <v>96</v>
      </c>
      <c r="N22" t="s">
        <v>164</v>
      </c>
      <c r="O22" t="s">
        <v>27</v>
      </c>
      <c r="P22" t="str">
        <f t="shared" si="1"/>
        <v>2Q0615405AC SLIDING-CALIPER BR (AUTOMOTIVE PARTS FOR CAPTIVE CONSUMPTION)</v>
      </c>
    </row>
    <row r="23" spans="1:16" x14ac:dyDescent="0.25">
      <c r="A23" t="s">
        <v>14</v>
      </c>
      <c r="B23" t="s">
        <v>15</v>
      </c>
      <c r="C23" t="s">
        <v>16</v>
      </c>
      <c r="D23" t="s">
        <v>82</v>
      </c>
      <c r="E23" t="s">
        <v>158</v>
      </c>
      <c r="F23" t="s">
        <v>165</v>
      </c>
      <c r="G23" t="s">
        <v>166</v>
      </c>
      <c r="H23" t="str">
        <f t="shared" si="0"/>
        <v>SLIDING-CALIPER BRAKE</v>
      </c>
      <c r="I23" t="s">
        <v>21</v>
      </c>
      <c r="J23" t="s">
        <v>167</v>
      </c>
      <c r="K23" t="s">
        <v>168</v>
      </c>
      <c r="L23" t="s">
        <v>169</v>
      </c>
      <c r="M23" t="s">
        <v>96</v>
      </c>
      <c r="N23" t="s">
        <v>170</v>
      </c>
      <c r="O23" t="s">
        <v>27</v>
      </c>
      <c r="P23" t="str">
        <f t="shared" si="1"/>
        <v>2Q0615405AD SLIDING-CALIPER BRAKE (AUTOMOTIVE PARTS FOR CAPTIVE CONSUMPTION)</v>
      </c>
    </row>
    <row r="24" spans="1:16" x14ac:dyDescent="0.25">
      <c r="A24" t="s">
        <v>14</v>
      </c>
      <c r="B24" t="s">
        <v>15</v>
      </c>
      <c r="C24" t="s">
        <v>16</v>
      </c>
      <c r="D24" t="s">
        <v>82</v>
      </c>
      <c r="E24" t="s">
        <v>158</v>
      </c>
      <c r="F24" t="s">
        <v>171</v>
      </c>
      <c r="G24" t="s">
        <v>166</v>
      </c>
      <c r="H24" t="str">
        <f t="shared" si="0"/>
        <v>SLIDING-CALIPER BRAKE</v>
      </c>
      <c r="I24" t="s">
        <v>21</v>
      </c>
      <c r="J24" t="s">
        <v>161</v>
      </c>
      <c r="K24" t="s">
        <v>168</v>
      </c>
      <c r="L24" t="s">
        <v>169</v>
      </c>
      <c r="M24" t="s">
        <v>96</v>
      </c>
      <c r="N24" t="s">
        <v>172</v>
      </c>
      <c r="O24" t="s">
        <v>27</v>
      </c>
      <c r="P24" t="str">
        <f t="shared" si="1"/>
        <v>2Q0615406AD SLIDING-CALIPER BRAKE (AUTOMOTIVE PARTS FOR CAPTIVE CONSUMPTION)</v>
      </c>
    </row>
    <row r="25" spans="1:16" x14ac:dyDescent="0.25">
      <c r="A25" t="s">
        <v>14</v>
      </c>
      <c r="B25" t="s">
        <v>15</v>
      </c>
      <c r="C25" t="s">
        <v>16</v>
      </c>
      <c r="D25" t="s">
        <v>41</v>
      </c>
      <c r="E25" t="s">
        <v>173</v>
      </c>
      <c r="F25" t="s">
        <v>174</v>
      </c>
      <c r="G25" t="s">
        <v>175</v>
      </c>
      <c r="H25" t="str">
        <f t="shared" si="0"/>
        <v>BATTERY TERMINAL</v>
      </c>
      <c r="I25" t="s">
        <v>21</v>
      </c>
      <c r="J25" t="s">
        <v>176</v>
      </c>
      <c r="K25" t="s">
        <v>177</v>
      </c>
      <c r="L25" t="s">
        <v>178</v>
      </c>
      <c r="M25" t="s">
        <v>61</v>
      </c>
      <c r="N25" t="s">
        <v>179</v>
      </c>
      <c r="O25" t="s">
        <v>27</v>
      </c>
      <c r="P25" t="str">
        <f t="shared" si="1"/>
        <v>2Q0915135 BATTERY TERMINAL (AUTOMOTIVE PARTS FOR CAPTIVE CONSUMPTION)</v>
      </c>
    </row>
    <row r="26" spans="1:16" x14ac:dyDescent="0.25">
      <c r="A26" t="s">
        <v>14</v>
      </c>
      <c r="B26" t="s">
        <v>15</v>
      </c>
      <c r="C26" t="s">
        <v>16</v>
      </c>
      <c r="D26" t="s">
        <v>41</v>
      </c>
      <c r="E26" t="s">
        <v>18</v>
      </c>
      <c r="F26" t="s">
        <v>180</v>
      </c>
      <c r="G26" t="s">
        <v>181</v>
      </c>
      <c r="H26" t="str">
        <f t="shared" si="0"/>
        <v>CAP</v>
      </c>
      <c r="I26" t="s">
        <v>21</v>
      </c>
      <c r="J26" t="s">
        <v>182</v>
      </c>
      <c r="K26" t="s">
        <v>183</v>
      </c>
      <c r="L26" t="s">
        <v>184</v>
      </c>
      <c r="M26" t="s">
        <v>25</v>
      </c>
      <c r="N26" t="s">
        <v>185</v>
      </c>
      <c r="O26" t="s">
        <v>27</v>
      </c>
      <c r="P26" t="str">
        <f t="shared" si="1"/>
        <v>2Q0971813 CAP (AUTOMOTIVE PARTS FOR CAPTIVE CONSUMPTION)</v>
      </c>
    </row>
    <row r="27" spans="1:16" x14ac:dyDescent="0.25">
      <c r="A27" t="s">
        <v>14</v>
      </c>
      <c r="B27" t="s">
        <v>15</v>
      </c>
      <c r="C27" t="s">
        <v>16</v>
      </c>
      <c r="D27" t="s">
        <v>138</v>
      </c>
      <c r="E27" t="s">
        <v>158</v>
      </c>
      <c r="F27" t="s">
        <v>186</v>
      </c>
      <c r="G27" t="s">
        <v>187</v>
      </c>
      <c r="H27" t="str">
        <f t="shared" si="0"/>
        <v>BRACKET FOR ABS UNIT</v>
      </c>
      <c r="I27" t="s">
        <v>21</v>
      </c>
      <c r="J27" t="s">
        <v>135</v>
      </c>
      <c r="K27" t="s">
        <v>188</v>
      </c>
      <c r="L27" t="s">
        <v>189</v>
      </c>
      <c r="M27" t="s">
        <v>61</v>
      </c>
      <c r="N27" t="s">
        <v>190</v>
      </c>
      <c r="O27" t="s">
        <v>27</v>
      </c>
      <c r="P27" t="str">
        <f t="shared" si="1"/>
        <v>2Q2614235C BRACKET FOR ABS UNIT (AUTOMOTIVE PARTS FOR CAPTIVE CONSUMPTION)</v>
      </c>
    </row>
    <row r="28" spans="1:16" x14ac:dyDescent="0.25">
      <c r="A28" t="s">
        <v>14</v>
      </c>
      <c r="B28" t="s">
        <v>15</v>
      </c>
      <c r="C28" t="s">
        <v>16</v>
      </c>
      <c r="D28" t="s">
        <v>41</v>
      </c>
      <c r="E28" t="s">
        <v>191</v>
      </c>
      <c r="F28" t="s">
        <v>192</v>
      </c>
      <c r="G28" t="s">
        <v>193</v>
      </c>
      <c r="H28" t="str">
        <f t="shared" si="0"/>
        <v>COVER (SELF-ADHESIVE)</v>
      </c>
      <c r="I28" t="s">
        <v>21</v>
      </c>
      <c r="J28" t="s">
        <v>194</v>
      </c>
      <c r="K28" t="s">
        <v>195</v>
      </c>
      <c r="L28" t="s">
        <v>196</v>
      </c>
      <c r="M28" t="s">
        <v>25</v>
      </c>
      <c r="N28" t="s">
        <v>197</v>
      </c>
      <c r="O28" t="s">
        <v>27</v>
      </c>
      <c r="P28" t="str">
        <f t="shared" si="1"/>
        <v>3AA837903 COVER (SELF-ADHESIVE) (AUTOMOTIVE PARTS FOR CAPTIVE CONSUMPTION)</v>
      </c>
    </row>
    <row r="29" spans="1:16" x14ac:dyDescent="0.25">
      <c r="A29" t="s">
        <v>14</v>
      </c>
      <c r="B29" t="s">
        <v>15</v>
      </c>
      <c r="C29" t="s">
        <v>16</v>
      </c>
      <c r="D29" t="s">
        <v>41</v>
      </c>
      <c r="E29" t="s">
        <v>198</v>
      </c>
      <c r="F29" t="s">
        <v>199</v>
      </c>
      <c r="G29" t="s">
        <v>200</v>
      </c>
      <c r="H29" t="str">
        <f t="shared" si="0"/>
        <v>ADDITIONAL BRAKE LIGHT WITH</v>
      </c>
      <c r="I29" t="s">
        <v>21</v>
      </c>
      <c r="J29" t="s">
        <v>201</v>
      </c>
      <c r="K29" t="s">
        <v>202</v>
      </c>
      <c r="L29" t="s">
        <v>203</v>
      </c>
      <c r="M29" t="s">
        <v>61</v>
      </c>
      <c r="N29" t="s">
        <v>204</v>
      </c>
      <c r="O29" t="s">
        <v>27</v>
      </c>
      <c r="P29" t="str">
        <f t="shared" si="1"/>
        <v>3CN945087 ADDITIONAL BRAKE LIGHT WITH (AUTOMOTIVE PARTS FOR CAPTIVE CONSUMPTION)</v>
      </c>
    </row>
    <row r="30" spans="1:16" x14ac:dyDescent="0.25">
      <c r="A30" t="s">
        <v>14</v>
      </c>
      <c r="B30" t="s">
        <v>15</v>
      </c>
      <c r="C30" t="s">
        <v>16</v>
      </c>
      <c r="D30" t="s">
        <v>41</v>
      </c>
      <c r="E30" t="s">
        <v>18</v>
      </c>
      <c r="F30" t="s">
        <v>205</v>
      </c>
      <c r="G30" t="s">
        <v>206</v>
      </c>
      <c r="H30" t="str">
        <f t="shared" si="0"/>
        <v>BALL SCREW</v>
      </c>
      <c r="I30" t="s">
        <v>21</v>
      </c>
      <c r="J30" t="s">
        <v>141</v>
      </c>
      <c r="K30" t="s">
        <v>79</v>
      </c>
      <c r="L30" t="s">
        <v>207</v>
      </c>
      <c r="M30" t="s">
        <v>25</v>
      </c>
      <c r="N30" t="s">
        <v>208</v>
      </c>
      <c r="O30" t="s">
        <v>27</v>
      </c>
      <c r="P30" t="str">
        <f t="shared" si="1"/>
        <v>3T0945229 BALL SCREW (AUTOMOTIVE PARTS FOR CAPTIVE CONSUMPTION)</v>
      </c>
    </row>
    <row r="31" spans="1:16" x14ac:dyDescent="0.25">
      <c r="A31" t="s">
        <v>14</v>
      </c>
      <c r="B31" t="s">
        <v>15</v>
      </c>
      <c r="C31" t="s">
        <v>16</v>
      </c>
      <c r="D31" t="s">
        <v>209</v>
      </c>
      <c r="E31" t="s">
        <v>191</v>
      </c>
      <c r="F31" t="s">
        <v>210</v>
      </c>
      <c r="G31" t="s">
        <v>211</v>
      </c>
      <c r="H31" t="str">
        <f t="shared" si="0"/>
        <v>VEHICLE DATA CARRIER</v>
      </c>
      <c r="I31" t="s">
        <v>21</v>
      </c>
      <c r="J31" t="s">
        <v>129</v>
      </c>
      <c r="K31" t="s">
        <v>212</v>
      </c>
      <c r="L31" t="s">
        <v>213</v>
      </c>
      <c r="M31" t="s">
        <v>25</v>
      </c>
      <c r="N31" t="s">
        <v>214</v>
      </c>
      <c r="O31" t="s">
        <v>27</v>
      </c>
      <c r="P31" t="str">
        <f t="shared" si="1"/>
        <v>5F0010009 VEHICLE DATA CARRIER (AUTOMOTIVE PARTS FOR CAPTIVE CONSUMPTION)</v>
      </c>
    </row>
    <row r="32" spans="1:16" x14ac:dyDescent="0.25">
      <c r="A32" t="s">
        <v>14</v>
      </c>
      <c r="B32" t="s">
        <v>15</v>
      </c>
      <c r="C32" t="s">
        <v>16</v>
      </c>
      <c r="D32" t="s">
        <v>138</v>
      </c>
      <c r="E32" t="s">
        <v>18</v>
      </c>
      <c r="F32" t="s">
        <v>215</v>
      </c>
      <c r="G32" t="s">
        <v>216</v>
      </c>
      <c r="H32" t="str">
        <f t="shared" si="0"/>
        <v>PLUG</v>
      </c>
      <c r="I32" t="s">
        <v>21</v>
      </c>
      <c r="J32" t="s">
        <v>78</v>
      </c>
      <c r="K32" t="s">
        <v>79</v>
      </c>
      <c r="L32" t="s">
        <v>217</v>
      </c>
      <c r="M32" t="s">
        <v>25</v>
      </c>
      <c r="N32" t="s">
        <v>218</v>
      </c>
      <c r="O32" t="s">
        <v>27</v>
      </c>
      <c r="P32" t="str">
        <f t="shared" si="1"/>
        <v>5F0899181 PLUG (AUTOMOTIVE PARTS FOR CAPTIVE CONSUMPTION)</v>
      </c>
    </row>
    <row r="33" spans="1:16" x14ac:dyDescent="0.25">
      <c r="A33" t="s">
        <v>14</v>
      </c>
      <c r="B33" t="s">
        <v>15</v>
      </c>
      <c r="C33" t="s">
        <v>16</v>
      </c>
      <c r="D33" t="s">
        <v>41</v>
      </c>
      <c r="E33" t="s">
        <v>219</v>
      </c>
      <c r="F33" t="s">
        <v>220</v>
      </c>
      <c r="G33" t="s">
        <v>221</v>
      </c>
      <c r="H33" t="str">
        <f t="shared" si="0"/>
        <v>ELEC. VACUUM PUMP FOR</v>
      </c>
      <c r="I33" t="s">
        <v>21</v>
      </c>
      <c r="J33" t="s">
        <v>222</v>
      </c>
      <c r="K33" t="s">
        <v>223</v>
      </c>
      <c r="L33" t="s">
        <v>224</v>
      </c>
      <c r="M33" t="s">
        <v>96</v>
      </c>
      <c r="N33" t="s">
        <v>225</v>
      </c>
      <c r="O33" t="s">
        <v>27</v>
      </c>
      <c r="P33" t="str">
        <f t="shared" si="1"/>
        <v>5Q0612181D ELEC. VACUUM PUMP FOR (AUTOMOTIVE PARTS FOR CAPTIVE CONSUMPTION)</v>
      </c>
    </row>
    <row r="34" spans="1:16" x14ac:dyDescent="0.25">
      <c r="A34" t="s">
        <v>14</v>
      </c>
      <c r="B34" t="s">
        <v>15</v>
      </c>
      <c r="C34" t="s">
        <v>16</v>
      </c>
      <c r="D34" t="s">
        <v>41</v>
      </c>
      <c r="E34" t="s">
        <v>219</v>
      </c>
      <c r="F34" t="s">
        <v>226</v>
      </c>
      <c r="G34" t="s">
        <v>227</v>
      </c>
      <c r="H34" t="str">
        <f t="shared" si="0"/>
        <v>WATER PUMP</v>
      </c>
      <c r="I34" t="s">
        <v>21</v>
      </c>
      <c r="J34" t="s">
        <v>228</v>
      </c>
      <c r="K34" t="s">
        <v>229</v>
      </c>
      <c r="L34" t="s">
        <v>230</v>
      </c>
      <c r="M34" t="s">
        <v>61</v>
      </c>
      <c r="N34" t="s">
        <v>231</v>
      </c>
      <c r="O34" t="s">
        <v>27</v>
      </c>
      <c r="P34" t="str">
        <f t="shared" si="1"/>
        <v>5Q0965567N WATER PUMP (AUTOMOTIVE PARTS FOR CAPTIVE CONSUMPTION)</v>
      </c>
    </row>
    <row r="35" spans="1:16" x14ac:dyDescent="0.25">
      <c r="A35" t="s">
        <v>14</v>
      </c>
      <c r="B35" t="s">
        <v>15</v>
      </c>
      <c r="C35" t="s">
        <v>16</v>
      </c>
      <c r="D35" t="s">
        <v>41</v>
      </c>
      <c r="E35" t="s">
        <v>232</v>
      </c>
      <c r="F35" t="s">
        <v>233</v>
      </c>
      <c r="G35" t="s">
        <v>234</v>
      </c>
      <c r="H35" t="str">
        <f t="shared" si="0"/>
        <v>CONTROL UNIT FOR PARK ASSIST</v>
      </c>
      <c r="I35" t="s">
        <v>21</v>
      </c>
      <c r="J35" t="s">
        <v>235</v>
      </c>
      <c r="K35" t="s">
        <v>236</v>
      </c>
      <c r="L35" t="s">
        <v>237</v>
      </c>
      <c r="M35" t="s">
        <v>61</v>
      </c>
      <c r="N35" t="s">
        <v>238</v>
      </c>
      <c r="O35" t="s">
        <v>27</v>
      </c>
      <c r="P35" t="str">
        <f t="shared" si="1"/>
        <v>5QA919294L CONTROL UNIT FOR PARK ASSIST (AUTOMOTIVE PARTS FOR CAPTIVE CONSUMPTION)</v>
      </c>
    </row>
    <row r="36" spans="1:16" x14ac:dyDescent="0.25">
      <c r="A36" t="s">
        <v>14</v>
      </c>
      <c r="B36" t="s">
        <v>15</v>
      </c>
      <c r="C36" t="s">
        <v>16</v>
      </c>
      <c r="D36" t="s">
        <v>138</v>
      </c>
      <c r="E36" t="s">
        <v>151</v>
      </c>
      <c r="F36" t="s">
        <v>239</v>
      </c>
      <c r="G36" t="s">
        <v>240</v>
      </c>
      <c r="H36" t="str">
        <f t="shared" si="0"/>
        <v>1 SET OF FUEL LINES</v>
      </c>
      <c r="I36" t="s">
        <v>21</v>
      </c>
      <c r="J36" t="s">
        <v>58</v>
      </c>
      <c r="K36" t="s">
        <v>241</v>
      </c>
      <c r="L36" t="s">
        <v>242</v>
      </c>
      <c r="M36" t="s">
        <v>61</v>
      </c>
      <c r="N36" t="s">
        <v>243</v>
      </c>
      <c r="O36" t="s">
        <v>27</v>
      </c>
      <c r="P36" t="str">
        <f t="shared" si="1"/>
        <v>5QP200059C 1 SET OF FUEL LINES (AUTOMOTIVE PARTS FOR CAPTIVE CONSUMPTION)</v>
      </c>
    </row>
    <row r="37" spans="1:16" x14ac:dyDescent="0.25">
      <c r="A37" t="s">
        <v>14</v>
      </c>
      <c r="B37" t="s">
        <v>15</v>
      </c>
      <c r="C37" t="s">
        <v>16</v>
      </c>
      <c r="D37" t="s">
        <v>138</v>
      </c>
      <c r="E37" t="s">
        <v>151</v>
      </c>
      <c r="F37" t="s">
        <v>244</v>
      </c>
      <c r="G37" t="s">
        <v>240</v>
      </c>
      <c r="H37" t="str">
        <f t="shared" si="0"/>
        <v>1 SET OF FUEL LINES</v>
      </c>
      <c r="I37" t="s">
        <v>21</v>
      </c>
      <c r="J37" t="s">
        <v>58</v>
      </c>
      <c r="K37" t="s">
        <v>245</v>
      </c>
      <c r="L37" t="s">
        <v>246</v>
      </c>
      <c r="M37" t="s">
        <v>61</v>
      </c>
      <c r="N37" t="s">
        <v>247</v>
      </c>
      <c r="O37" t="s">
        <v>27</v>
      </c>
      <c r="P37" t="str">
        <f t="shared" si="1"/>
        <v>5QP200059D 1 SET OF FUEL LINES (AUTOMOTIVE PARTS FOR CAPTIVE CONSUMPTION)</v>
      </c>
    </row>
    <row r="38" spans="1:16" x14ac:dyDescent="0.25">
      <c r="A38" t="s">
        <v>14</v>
      </c>
      <c r="B38" t="s">
        <v>15</v>
      </c>
      <c r="C38" t="s">
        <v>16</v>
      </c>
      <c r="D38" t="s">
        <v>41</v>
      </c>
      <c r="E38" t="s">
        <v>18</v>
      </c>
      <c r="F38" t="s">
        <v>248</v>
      </c>
      <c r="G38" t="s">
        <v>249</v>
      </c>
      <c r="H38" t="str">
        <f t="shared" si="0"/>
        <v>SUPPORT</v>
      </c>
      <c r="I38" t="s">
        <v>21</v>
      </c>
      <c r="J38" t="s">
        <v>250</v>
      </c>
      <c r="K38" t="s">
        <v>130</v>
      </c>
      <c r="L38" t="s">
        <v>251</v>
      </c>
      <c r="M38" t="s">
        <v>25</v>
      </c>
      <c r="N38" t="s">
        <v>252</v>
      </c>
      <c r="O38" t="s">
        <v>27</v>
      </c>
      <c r="P38" t="str">
        <f t="shared" si="1"/>
        <v>657945067 SUPPORT (AUTOMOTIVE PARTS FOR CAPTIVE CONSUMPTION)</v>
      </c>
    </row>
    <row r="39" spans="1:16" x14ac:dyDescent="0.25">
      <c r="A39" t="s">
        <v>14</v>
      </c>
      <c r="B39" t="s">
        <v>15</v>
      </c>
      <c r="C39" t="s">
        <v>16</v>
      </c>
      <c r="D39" t="s">
        <v>41</v>
      </c>
      <c r="E39" t="s">
        <v>253</v>
      </c>
      <c r="F39" t="s">
        <v>254</v>
      </c>
      <c r="G39" t="s">
        <v>255</v>
      </c>
      <c r="H39" t="str">
        <f t="shared" si="0"/>
        <v>CLAMP</v>
      </c>
      <c r="I39" t="s">
        <v>21</v>
      </c>
      <c r="J39" t="s">
        <v>141</v>
      </c>
      <c r="K39" t="s">
        <v>155</v>
      </c>
      <c r="L39" t="s">
        <v>256</v>
      </c>
      <c r="M39" t="s">
        <v>25</v>
      </c>
      <c r="N39" t="s">
        <v>257</v>
      </c>
      <c r="O39" t="s">
        <v>27</v>
      </c>
      <c r="P39" t="str">
        <f t="shared" si="1"/>
        <v>6F0819145 CLAMP (AUTOMOTIVE PARTS FOR CAPTIVE CONSUMPTION)</v>
      </c>
    </row>
    <row r="40" spans="1:16" x14ac:dyDescent="0.25">
      <c r="A40" t="s">
        <v>14</v>
      </c>
      <c r="B40" t="s">
        <v>15</v>
      </c>
      <c r="C40" t="s">
        <v>16</v>
      </c>
      <c r="D40" t="s">
        <v>112</v>
      </c>
      <c r="E40" t="s">
        <v>258</v>
      </c>
      <c r="F40" t="s">
        <v>259</v>
      </c>
      <c r="G40" t="s">
        <v>260</v>
      </c>
      <c r="H40" t="str">
        <f t="shared" si="0"/>
        <v>AIRBAG</v>
      </c>
      <c r="I40" t="s">
        <v>21</v>
      </c>
      <c r="J40" t="s">
        <v>261</v>
      </c>
      <c r="K40" t="s">
        <v>262</v>
      </c>
      <c r="L40" t="s">
        <v>263</v>
      </c>
      <c r="M40" t="s">
        <v>96</v>
      </c>
      <c r="N40" t="s">
        <v>264</v>
      </c>
      <c r="O40" t="s">
        <v>27</v>
      </c>
      <c r="P40" t="str">
        <f t="shared" si="1"/>
        <v>6JM880201DXEA AIRBAG (AUTOMOTIVE PARTS FOR CAPTIVE CONSUMPTION)</v>
      </c>
    </row>
    <row r="41" spans="1:16" x14ac:dyDescent="0.25">
      <c r="A41" t="s">
        <v>14</v>
      </c>
      <c r="B41" t="s">
        <v>15</v>
      </c>
      <c r="C41" t="s">
        <v>16</v>
      </c>
      <c r="D41" t="s">
        <v>41</v>
      </c>
      <c r="E41" t="s">
        <v>265</v>
      </c>
      <c r="F41" t="s">
        <v>266</v>
      </c>
      <c r="G41" t="s">
        <v>267</v>
      </c>
      <c r="H41" t="str">
        <f t="shared" si="0"/>
        <v>FLAT CONTACT HOUSING</v>
      </c>
      <c r="I41" t="s">
        <v>21</v>
      </c>
      <c r="J41" t="s">
        <v>268</v>
      </c>
      <c r="K41" t="s">
        <v>269</v>
      </c>
      <c r="L41" t="s">
        <v>270</v>
      </c>
      <c r="M41" t="s">
        <v>25</v>
      </c>
      <c r="N41" t="s">
        <v>271</v>
      </c>
      <c r="O41" t="s">
        <v>27</v>
      </c>
      <c r="P41" t="str">
        <f t="shared" si="1"/>
        <v>6Q0971701A FLAT CONTACT HOUSING (AUTOMOTIVE PARTS FOR CAPTIVE CONSUMPTION)</v>
      </c>
    </row>
    <row r="42" spans="1:16" x14ac:dyDescent="0.25">
      <c r="A42" t="s">
        <v>14</v>
      </c>
      <c r="B42" t="s">
        <v>15</v>
      </c>
      <c r="C42" t="s">
        <v>16</v>
      </c>
      <c r="D42" t="s">
        <v>138</v>
      </c>
      <c r="E42" t="s">
        <v>18</v>
      </c>
      <c r="F42" t="s">
        <v>272</v>
      </c>
      <c r="G42" t="s">
        <v>273</v>
      </c>
      <c r="H42" t="str">
        <f t="shared" si="0"/>
        <v>CLIP</v>
      </c>
      <c r="I42" t="s">
        <v>21</v>
      </c>
      <c r="J42" t="s">
        <v>129</v>
      </c>
      <c r="K42" t="s">
        <v>79</v>
      </c>
      <c r="L42" t="s">
        <v>274</v>
      </c>
      <c r="M42" t="s">
        <v>25</v>
      </c>
      <c r="N42" t="s">
        <v>275</v>
      </c>
      <c r="O42" t="s">
        <v>27</v>
      </c>
      <c r="P42" t="str">
        <f t="shared" si="1"/>
        <v>6U0867299RM5 CLIP (AUTOMOTIVE PARTS FOR CAPTIVE CONSUMPTION)</v>
      </c>
    </row>
    <row r="43" spans="1:16" x14ac:dyDescent="0.25">
      <c r="A43" t="s">
        <v>14</v>
      </c>
      <c r="B43" t="s">
        <v>15</v>
      </c>
      <c r="C43" t="s">
        <v>16</v>
      </c>
      <c r="D43" t="s">
        <v>90</v>
      </c>
      <c r="E43" t="s">
        <v>258</v>
      </c>
      <c r="F43" t="s">
        <v>276</v>
      </c>
      <c r="G43" t="s">
        <v>277</v>
      </c>
      <c r="H43" t="str">
        <f t="shared" si="0"/>
        <v>AIRBAG UNIT FOR STEERING WHEEL</v>
      </c>
      <c r="I43" t="s">
        <v>21</v>
      </c>
      <c r="J43" t="s">
        <v>278</v>
      </c>
      <c r="K43" t="s">
        <v>279</v>
      </c>
      <c r="L43" t="s">
        <v>280</v>
      </c>
      <c r="M43" t="s">
        <v>96</v>
      </c>
      <c r="N43" t="s">
        <v>281</v>
      </c>
      <c r="O43" t="s">
        <v>27</v>
      </c>
      <c r="P43" t="str">
        <f t="shared" si="1"/>
        <v>6VA880201EIZY AIRBAG UNIT FOR STEERING WHEEL (AUTOMOTIVE PARTS FOR CAPTIVE CONSUMPTION)</v>
      </c>
    </row>
    <row r="44" spans="1:16" x14ac:dyDescent="0.25">
      <c r="A44" t="s">
        <v>14</v>
      </c>
      <c r="B44" t="s">
        <v>15</v>
      </c>
      <c r="C44" t="s">
        <v>16</v>
      </c>
      <c r="D44" t="s">
        <v>90</v>
      </c>
      <c r="E44" t="s">
        <v>258</v>
      </c>
      <c r="F44" t="s">
        <v>282</v>
      </c>
      <c r="G44" t="s">
        <v>277</v>
      </c>
      <c r="H44" t="str">
        <f t="shared" si="0"/>
        <v>AIRBAG UNIT FOR STEERING WHEEL</v>
      </c>
      <c r="I44" t="s">
        <v>21</v>
      </c>
      <c r="J44" t="s">
        <v>283</v>
      </c>
      <c r="K44" t="s">
        <v>284</v>
      </c>
      <c r="L44" t="s">
        <v>285</v>
      </c>
      <c r="M44" t="s">
        <v>96</v>
      </c>
      <c r="N44" t="s">
        <v>286</v>
      </c>
      <c r="O44" t="s">
        <v>27</v>
      </c>
      <c r="P44" t="str">
        <f t="shared" si="1"/>
        <v>6VA880201FIZY AIRBAG UNIT FOR STEERING WHEEL (AUTOMOTIVE PARTS FOR CAPTIVE CONSUMPTION)</v>
      </c>
    </row>
    <row r="45" spans="1:16" x14ac:dyDescent="0.25">
      <c r="A45" t="s">
        <v>14</v>
      </c>
      <c r="B45" t="s">
        <v>15</v>
      </c>
      <c r="C45" t="s">
        <v>16</v>
      </c>
      <c r="D45" t="s">
        <v>138</v>
      </c>
      <c r="E45" t="s">
        <v>18</v>
      </c>
      <c r="F45" t="s">
        <v>287</v>
      </c>
      <c r="G45" t="s">
        <v>288</v>
      </c>
      <c r="H45" t="str">
        <f t="shared" si="0"/>
        <v>DRAIN TUBE GROMMET</v>
      </c>
      <c r="I45" t="s">
        <v>21</v>
      </c>
      <c r="J45" t="s">
        <v>289</v>
      </c>
      <c r="K45" t="s">
        <v>130</v>
      </c>
      <c r="L45" t="s">
        <v>290</v>
      </c>
      <c r="M45" t="s">
        <v>25</v>
      </c>
      <c r="N45" t="s">
        <v>291</v>
      </c>
      <c r="O45" t="s">
        <v>27</v>
      </c>
      <c r="P45" t="str">
        <f t="shared" si="1"/>
        <v>8K0805267 DRAIN TUBE GROMMET (AUTOMOTIVE PARTS FOR CAPTIVE CONSUMPTION)</v>
      </c>
    </row>
    <row r="46" spans="1:16" x14ac:dyDescent="0.25">
      <c r="A46" t="s">
        <v>14</v>
      </c>
      <c r="B46" t="s">
        <v>15</v>
      </c>
      <c r="C46" t="s">
        <v>16</v>
      </c>
      <c r="D46" t="s">
        <v>17</v>
      </c>
      <c r="E46" t="s">
        <v>292</v>
      </c>
      <c r="F46" t="s">
        <v>293</v>
      </c>
      <c r="G46" t="s">
        <v>294</v>
      </c>
      <c r="H46" t="str">
        <f t="shared" si="0"/>
        <v>ACTUATOR</v>
      </c>
      <c r="I46" t="s">
        <v>21</v>
      </c>
      <c r="J46" t="s">
        <v>295</v>
      </c>
      <c r="K46" t="s">
        <v>296</v>
      </c>
      <c r="L46" t="s">
        <v>297</v>
      </c>
      <c r="M46" t="s">
        <v>61</v>
      </c>
      <c r="N46" t="s">
        <v>298</v>
      </c>
      <c r="O46" t="s">
        <v>27</v>
      </c>
      <c r="P46" t="str">
        <f t="shared" si="1"/>
        <v>8V0862159B ACTUATOR (AUTOMOTIVE PARTS FOR CAPTIVE CONSUMPTION)</v>
      </c>
    </row>
    <row r="47" spans="1:16" x14ac:dyDescent="0.25">
      <c r="A47" t="s">
        <v>14</v>
      </c>
      <c r="B47" t="s">
        <v>15</v>
      </c>
      <c r="C47" t="s">
        <v>16</v>
      </c>
      <c r="D47" t="s">
        <v>17</v>
      </c>
      <c r="E47" t="s">
        <v>144</v>
      </c>
      <c r="F47" t="s">
        <v>299</v>
      </c>
      <c r="G47" t="s">
        <v>300</v>
      </c>
      <c r="H47" t="str">
        <f t="shared" si="0"/>
        <v>HOOD LATCH</v>
      </c>
      <c r="I47" t="s">
        <v>21</v>
      </c>
      <c r="J47" t="s">
        <v>301</v>
      </c>
      <c r="K47" t="s">
        <v>302</v>
      </c>
      <c r="L47" t="s">
        <v>303</v>
      </c>
      <c r="M47" t="s">
        <v>61</v>
      </c>
      <c r="N47" t="s">
        <v>304</v>
      </c>
      <c r="O47" t="s">
        <v>27</v>
      </c>
      <c r="P47" t="str">
        <f t="shared" si="1"/>
        <v>8W0827503A HOOD LATCH (AUTOMOTIVE PARTS FOR CAPTIVE CONSUMPTION)</v>
      </c>
    </row>
    <row r="48" spans="1:16" x14ac:dyDescent="0.25">
      <c r="A48" s="1" t="s">
        <v>14</v>
      </c>
      <c r="B48" s="1" t="s">
        <v>15</v>
      </c>
      <c r="C48" s="1" t="s">
        <v>16</v>
      </c>
      <c r="D48" s="1" t="s">
        <v>305</v>
      </c>
      <c r="E48" s="1" t="s">
        <v>306</v>
      </c>
      <c r="F48" s="1" t="s">
        <v>307</v>
      </c>
      <c r="G48" s="1" t="s">
        <v>308</v>
      </c>
      <c r="H48" t="str">
        <f t="shared" si="0"/>
        <v>LACKPRIMER 250ML</v>
      </c>
      <c r="I48" s="1" t="s">
        <v>21</v>
      </c>
      <c r="J48" s="1" t="s">
        <v>309</v>
      </c>
      <c r="K48" s="1" t="s">
        <v>310</v>
      </c>
      <c r="L48" s="1" t="s">
        <v>311</v>
      </c>
      <c r="M48" s="1" t="s">
        <v>312</v>
      </c>
      <c r="N48" t="s">
        <v>313</v>
      </c>
      <c r="O48" t="s">
        <v>27</v>
      </c>
      <c r="P48" t="str">
        <f t="shared" si="1"/>
        <v>AMV18175008 LACKPRIMER 250ML (AUTOMOTIVE PARTS FOR CAPTIVE CONSUMPTION)</v>
      </c>
    </row>
    <row r="49" spans="1:16" x14ac:dyDescent="0.25">
      <c r="A49" t="s">
        <v>14</v>
      </c>
      <c r="B49" t="s">
        <v>15</v>
      </c>
      <c r="C49" t="s">
        <v>16</v>
      </c>
      <c r="D49" t="s">
        <v>314</v>
      </c>
      <c r="E49" t="s">
        <v>315</v>
      </c>
      <c r="F49" t="s">
        <v>316</v>
      </c>
      <c r="G49" t="s">
        <v>317</v>
      </c>
      <c r="H49" t="str">
        <f t="shared" si="0"/>
        <v>SPRING CLIP</v>
      </c>
      <c r="I49" t="s">
        <v>21</v>
      </c>
      <c r="J49" t="s">
        <v>318</v>
      </c>
      <c r="K49" t="s">
        <v>319</v>
      </c>
      <c r="L49" t="s">
        <v>320</v>
      </c>
      <c r="M49" t="s">
        <v>25</v>
      </c>
      <c r="N49" t="s">
        <v>321</v>
      </c>
      <c r="O49" t="s">
        <v>27</v>
      </c>
      <c r="P49" t="str">
        <f t="shared" si="1"/>
        <v>N90656401 SPRING CLIP (AUTOMOTIVE PARTS FOR CAPTIVE CONSUMPTION)</v>
      </c>
    </row>
    <row r="50" spans="1:16" x14ac:dyDescent="0.25">
      <c r="A50" t="s">
        <v>14</v>
      </c>
      <c r="B50" t="s">
        <v>15</v>
      </c>
      <c r="C50" t="s">
        <v>16</v>
      </c>
      <c r="D50" t="s">
        <v>49</v>
      </c>
      <c r="E50" t="s">
        <v>322</v>
      </c>
      <c r="F50" t="s">
        <v>323</v>
      </c>
      <c r="G50" t="s">
        <v>324</v>
      </c>
      <c r="H50" t="str">
        <f t="shared" si="0"/>
        <v>HEX. NUT WITH WASHER</v>
      </c>
      <c r="I50" t="s">
        <v>21</v>
      </c>
      <c r="J50" t="s">
        <v>325</v>
      </c>
      <c r="K50" t="s">
        <v>183</v>
      </c>
      <c r="L50" t="s">
        <v>326</v>
      </c>
      <c r="M50" t="s">
        <v>25</v>
      </c>
      <c r="N50" t="s">
        <v>327</v>
      </c>
      <c r="O50" t="s">
        <v>27</v>
      </c>
      <c r="P50" t="str">
        <f t="shared" si="1"/>
        <v>N90714303 HEX. NUT WITH WASHER (AUTOMOTIVE PARTS FOR CAPTIVE CONSUMPTION)</v>
      </c>
    </row>
    <row r="51" spans="1:16" x14ac:dyDescent="0.25">
      <c r="A51" t="s">
        <v>14</v>
      </c>
      <c r="B51" t="s">
        <v>15</v>
      </c>
      <c r="C51" t="s">
        <v>16</v>
      </c>
      <c r="D51" t="s">
        <v>82</v>
      </c>
      <c r="E51" t="s">
        <v>315</v>
      </c>
      <c r="F51" t="s">
        <v>328</v>
      </c>
      <c r="G51" t="s">
        <v>255</v>
      </c>
      <c r="H51" t="str">
        <f t="shared" si="0"/>
        <v>CLAMP</v>
      </c>
      <c r="I51" t="s">
        <v>21</v>
      </c>
      <c r="J51" t="s">
        <v>329</v>
      </c>
      <c r="K51" t="s">
        <v>183</v>
      </c>
      <c r="L51" t="s">
        <v>330</v>
      </c>
      <c r="M51" t="s">
        <v>25</v>
      </c>
      <c r="N51" t="s">
        <v>331</v>
      </c>
      <c r="O51" t="s">
        <v>27</v>
      </c>
      <c r="P51" t="str">
        <f t="shared" si="1"/>
        <v>N90754202 CLAMP (AUTOMOTIVE PARTS FOR CAPTIVE CONSUMPTION)</v>
      </c>
    </row>
    <row r="52" spans="1:16" x14ac:dyDescent="0.25">
      <c r="A52" t="s">
        <v>14</v>
      </c>
      <c r="B52" t="s">
        <v>15</v>
      </c>
      <c r="C52" t="s">
        <v>16</v>
      </c>
      <c r="D52" t="s">
        <v>49</v>
      </c>
      <c r="E52" t="s">
        <v>322</v>
      </c>
      <c r="F52" t="s">
        <v>332</v>
      </c>
      <c r="G52" t="s">
        <v>333</v>
      </c>
      <c r="H52" t="str">
        <f t="shared" si="0"/>
        <v>RIVETTED CAP NUT</v>
      </c>
      <c r="I52" t="s">
        <v>21</v>
      </c>
      <c r="J52" t="s">
        <v>129</v>
      </c>
      <c r="K52" t="s">
        <v>130</v>
      </c>
      <c r="L52" t="s">
        <v>334</v>
      </c>
      <c r="M52" t="s">
        <v>25</v>
      </c>
      <c r="N52" t="s">
        <v>335</v>
      </c>
      <c r="O52" t="s">
        <v>27</v>
      </c>
      <c r="P52" t="str">
        <f t="shared" si="1"/>
        <v>N90959602 RIVETTED CAP NUT (AUTOMOTIVE PARTS FOR CAPTIVE CONSUMPTION)</v>
      </c>
    </row>
    <row r="53" spans="1:16" x14ac:dyDescent="0.25">
      <c r="A53" t="s">
        <v>14</v>
      </c>
      <c r="B53" t="s">
        <v>15</v>
      </c>
      <c r="C53" t="s">
        <v>16</v>
      </c>
      <c r="D53" t="s">
        <v>336</v>
      </c>
      <c r="E53" t="s">
        <v>322</v>
      </c>
      <c r="F53" t="s">
        <v>337</v>
      </c>
      <c r="G53" t="s">
        <v>338</v>
      </c>
      <c r="H53" t="str">
        <f t="shared" si="0"/>
        <v>HEX. NUT WITH RUBBER</v>
      </c>
      <c r="I53" t="s">
        <v>21</v>
      </c>
      <c r="J53" t="s">
        <v>339</v>
      </c>
      <c r="K53" t="s">
        <v>340</v>
      </c>
      <c r="L53" t="s">
        <v>341</v>
      </c>
      <c r="M53" t="s">
        <v>25</v>
      </c>
      <c r="N53" t="s">
        <v>342</v>
      </c>
      <c r="O53" t="s">
        <v>27</v>
      </c>
      <c r="P53" t="str">
        <f t="shared" si="1"/>
        <v>WHT000016 HEX. NUT WITH RUBBER (AUTOMOTIVE PARTS FOR CAPTIVE CONSUMPTION)</v>
      </c>
    </row>
    <row r="54" spans="1:16" x14ac:dyDescent="0.25">
      <c r="A54" t="s">
        <v>14</v>
      </c>
      <c r="B54" t="s">
        <v>15</v>
      </c>
      <c r="C54" t="s">
        <v>16</v>
      </c>
      <c r="D54" t="s">
        <v>41</v>
      </c>
      <c r="E54" t="s">
        <v>29</v>
      </c>
      <c r="F54" t="s">
        <v>343</v>
      </c>
      <c r="G54" t="s">
        <v>344</v>
      </c>
      <c r="H54" t="str">
        <f t="shared" si="0"/>
        <v>WASHER</v>
      </c>
      <c r="I54" t="s">
        <v>21</v>
      </c>
      <c r="J54" t="s">
        <v>345</v>
      </c>
      <c r="K54" t="s">
        <v>346</v>
      </c>
      <c r="L54" t="s">
        <v>347</v>
      </c>
      <c r="M54" t="s">
        <v>25</v>
      </c>
      <c r="N54" t="s">
        <v>348</v>
      </c>
      <c r="O54" t="s">
        <v>27</v>
      </c>
      <c r="P54" t="str">
        <f t="shared" si="1"/>
        <v>WHT004986H WASHER (AUTOMOTIVE PARTS FOR CAPTIVE CONSUMPTION)</v>
      </c>
    </row>
    <row r="55" spans="1:16" x14ac:dyDescent="0.25">
      <c r="A55" t="s">
        <v>14</v>
      </c>
      <c r="B55" t="s">
        <v>15</v>
      </c>
      <c r="C55" t="s">
        <v>16</v>
      </c>
      <c r="D55" t="s">
        <v>138</v>
      </c>
      <c r="E55" t="s">
        <v>18</v>
      </c>
      <c r="F55" t="s">
        <v>349</v>
      </c>
      <c r="G55" t="s">
        <v>44</v>
      </c>
      <c r="H55" t="str">
        <f t="shared" si="0"/>
        <v>SEALING CAP</v>
      </c>
      <c r="I55" t="s">
        <v>21</v>
      </c>
      <c r="J55" t="s">
        <v>350</v>
      </c>
      <c r="K55" t="s">
        <v>183</v>
      </c>
      <c r="L55" t="s">
        <v>351</v>
      </c>
      <c r="M55" t="s">
        <v>25</v>
      </c>
      <c r="N55" t="s">
        <v>352</v>
      </c>
      <c r="O55" t="s">
        <v>27</v>
      </c>
      <c r="P55" t="str">
        <f t="shared" si="1"/>
        <v>WHT007697 SEALING CAP (AUTOMOTIVE PARTS FOR CAPTIVE CONSUMPTION)</v>
      </c>
    </row>
  </sheetData>
  <autoFilter ref="A1:O55" xr:uid="{E29F7350-6739-4222-8FCC-091D3B598EE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Avinash Bhogle</cp:lastModifiedBy>
  <dcterms:created xsi:type="dcterms:W3CDTF">2026-03-18T10:23:27Z</dcterms:created>
  <dcterms:modified xsi:type="dcterms:W3CDTF">2026-03-27T06:37:45Z</dcterms:modified>
</cp:coreProperties>
</file>